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1"/>
  <workbookPr defaultThemeVersion="124226"/>
  <mc:AlternateContent xmlns:mc="http://schemas.openxmlformats.org/markup-compatibility/2006">
    <mc:Choice Requires="x15">
      <x15ac:absPath xmlns:x15ac="http://schemas.microsoft.com/office/spreadsheetml/2010/11/ac" url="U:\KiData_MNCH_IMiC\VITAL-Lactation\IMiC\raw\"/>
    </mc:Choice>
  </mc:AlternateContent>
  <xr:revisionPtr revIDLastSave="0" documentId="13_ncr:1_{282855F8-4771-4182-A69B-BA709F6E4CB2}" xr6:coauthVersionLast="36" xr6:coauthVersionMax="36" xr10:uidLastSave="{00000000-0000-0000-0000-000000000000}"/>
  <bookViews>
    <workbookView xWindow="720" yWindow="270" windowWidth="11100" windowHeight="5330" xr2:uid="{00000000-000D-0000-FFFF-FFFF00000000}"/>
  </bookViews>
  <sheets>
    <sheet name="vital_lactation_imic_datalink" sheetId="1" r:id="rId1"/>
  </sheets>
  <definedNames>
    <definedName name="_xlnm._FilterDatabase" localSheetId="0" hidden="1">vital_lactation_imic_datalink!$A$1:$K$100</definedName>
    <definedName name="vital_lactation_imic_datalink">vital_lactation_imic_datalink!$A$1:$G$100</definedName>
  </definedNames>
  <calcPr calcId="191029"/>
</workbook>
</file>

<file path=xl/calcChain.xml><?xml version="1.0" encoding="utf-8"?>
<calcChain xmlns="http://schemas.openxmlformats.org/spreadsheetml/2006/main">
  <c r="H26" i="1" l="1"/>
  <c r="H25" i="1"/>
  <c r="H23" i="1"/>
  <c r="H15" i="1"/>
  <c r="H16" i="1"/>
  <c r="H17" i="1"/>
  <c r="H18" i="1"/>
  <c r="H19" i="1"/>
  <c r="H14" i="1"/>
</calcChain>
</file>

<file path=xl/sharedStrings.xml><?xml version="1.0" encoding="utf-8"?>
<sst xmlns="http://schemas.openxmlformats.org/spreadsheetml/2006/main" count="692" uniqueCount="333">
  <si>
    <t>LIBNAME</t>
  </si>
  <si>
    <t>MEMNAME</t>
  </si>
  <si>
    <t>NAME</t>
  </si>
  <si>
    <t>LABEL</t>
  </si>
  <si>
    <t>VARNUM</t>
  </si>
  <si>
    <t>TYPE</t>
  </si>
  <si>
    <t>LENGTH</t>
  </si>
  <si>
    <t>AADAM</t>
  </si>
  <si>
    <t>VITAL_LACTATION_IMIC_ANALYSIS</t>
  </si>
  <si>
    <t>COUNTRY</t>
  </si>
  <si>
    <t>Country</t>
  </si>
  <si>
    <t>cha</t>
  </si>
  <si>
    <t>STUDYID</t>
  </si>
  <si>
    <t>Study ID</t>
  </si>
  <si>
    <t>SITEID</t>
  </si>
  <si>
    <t>Site ID</t>
  </si>
  <si>
    <t>num</t>
  </si>
  <si>
    <t>CITYTOWN</t>
  </si>
  <si>
    <t>City, town or village</t>
  </si>
  <si>
    <t>SUBJID</t>
  </si>
  <si>
    <t>Subject ID</t>
  </si>
  <si>
    <t>SUBJIDO</t>
  </si>
  <si>
    <t>Subject ID Original</t>
  </si>
  <si>
    <t>STUDYTYP</t>
  </si>
  <si>
    <t>Study Type</t>
  </si>
  <si>
    <t>ARM</t>
  </si>
  <si>
    <t>Intervention description</t>
  </si>
  <si>
    <t>ARMCD</t>
  </si>
  <si>
    <t>Intervention Code</t>
  </si>
  <si>
    <t>GAGEBRTH</t>
  </si>
  <si>
    <t>Gestational age at birth (days)</t>
  </si>
  <si>
    <t>GAGECM</t>
  </si>
  <si>
    <t>Gestational Age Method</t>
  </si>
  <si>
    <t>SEXN</t>
  </si>
  <si>
    <t>Sex (numeric)</t>
  </si>
  <si>
    <t>SEX</t>
  </si>
  <si>
    <t>Sex</t>
  </si>
  <si>
    <t>BRTHYR</t>
  </si>
  <si>
    <t>Birth Year</t>
  </si>
  <si>
    <t>BRTHWEEK</t>
  </si>
  <si>
    <t>Birth Week</t>
  </si>
  <si>
    <t>BIRTHWT</t>
  </si>
  <si>
    <t>Birth Weight (grams)</t>
  </si>
  <si>
    <t>BIRTHLEN</t>
  </si>
  <si>
    <t>Birth Length (cm)</t>
  </si>
  <si>
    <t>BIRTHORD</t>
  </si>
  <si>
    <t>Birth Order</t>
  </si>
  <si>
    <t>MAGE</t>
  </si>
  <si>
    <t>Mother's age (in years)</t>
  </si>
  <si>
    <t>GRAVIDA</t>
  </si>
  <si>
    <t>Gravida</t>
  </si>
  <si>
    <t>PARITY</t>
  </si>
  <si>
    <t>Parity</t>
  </si>
  <si>
    <t>PRIMPARITY</t>
  </si>
  <si>
    <t>Primary Parity</t>
  </si>
  <si>
    <t>NLIVBRTH</t>
  </si>
  <si>
    <t>Maternal num of live births</t>
  </si>
  <si>
    <t>NLCHILD</t>
  </si>
  <si>
    <t>Maternal num of living children</t>
  </si>
  <si>
    <t>NPERSON</t>
  </si>
  <si>
    <t>Number of people in house</t>
  </si>
  <si>
    <t>NROOMS</t>
  </si>
  <si>
    <t>Number of rooms in house</t>
  </si>
  <si>
    <t>MEDUCYRS</t>
  </si>
  <si>
    <t>Mother's education (years)</t>
  </si>
  <si>
    <t>H2OSRCP</t>
  </si>
  <si>
    <t>Water source</t>
  </si>
  <si>
    <t>FLOOR</t>
  </si>
  <si>
    <t>Type of floor in house</t>
  </si>
  <si>
    <t>COOKPLAC</t>
  </si>
  <si>
    <t>Place of cooking</t>
  </si>
  <si>
    <t>AGEDAYS</t>
  </si>
  <si>
    <t>Age since birth at examination (days)</t>
  </si>
  <si>
    <t>GAGEDAYS</t>
  </si>
  <si>
    <t>Gestational age at examination (days)</t>
  </si>
  <si>
    <t>AGEIMPFL</t>
  </si>
  <si>
    <t>Age is imputed</t>
  </si>
  <si>
    <t>AGEIMPCM</t>
  </si>
  <si>
    <t>Age imputation comment</t>
  </si>
  <si>
    <t>VISITNUM</t>
  </si>
  <si>
    <t>Visit Number</t>
  </si>
  <si>
    <t>VISIT</t>
  </si>
  <si>
    <t>Visit</t>
  </si>
  <si>
    <t>VISITIMPCM</t>
  </si>
  <si>
    <t>Visit imputation comment</t>
  </si>
  <si>
    <t>EPOCHN</t>
  </si>
  <si>
    <t>Epoch (num)</t>
  </si>
  <si>
    <t>EPOCH</t>
  </si>
  <si>
    <t>Epoch</t>
  </si>
  <si>
    <t>POSTBMI</t>
  </si>
  <si>
    <t>Postpartum BMI</t>
  </si>
  <si>
    <t>MHTCM</t>
  </si>
  <si>
    <t>Mother Standing height (cm)</t>
  </si>
  <si>
    <t>MWTKG</t>
  </si>
  <si>
    <t>Mother Weight (kg)</t>
  </si>
  <si>
    <t>MBMI</t>
  </si>
  <si>
    <t>Mother BMI (kg/m**2)</t>
  </si>
  <si>
    <t>MMUACCM</t>
  </si>
  <si>
    <t>Mother Mid upper-arm circumference (cm)</t>
  </si>
  <si>
    <t>MHGB</t>
  </si>
  <si>
    <t>Maternal hemoglobin (g/dL)</t>
  </si>
  <si>
    <t>PREGOUT</t>
  </si>
  <si>
    <t>Pregnancy outcome</t>
  </si>
  <si>
    <t>DELIVRDT</t>
  </si>
  <si>
    <t>Delivery Date</t>
  </si>
  <si>
    <t>DELIVERY</t>
  </si>
  <si>
    <t>Mode of delivery</t>
  </si>
  <si>
    <t>DLVLOC</t>
  </si>
  <si>
    <t>Delivery location</t>
  </si>
  <si>
    <t>DVSEASON</t>
  </si>
  <si>
    <t>Season of birth</t>
  </si>
  <si>
    <t>WTKG</t>
  </si>
  <si>
    <t>Weight (kg)</t>
  </si>
  <si>
    <t>LENCM</t>
  </si>
  <si>
    <t>Recumbent length (cm)</t>
  </si>
  <si>
    <t>BMI</t>
  </si>
  <si>
    <t>BMI (kg/m**2)</t>
  </si>
  <si>
    <t>MUACCM</t>
  </si>
  <si>
    <t>Mid upper-arm circumference (cm)</t>
  </si>
  <si>
    <t>WAZ</t>
  </si>
  <si>
    <t>Weight for age z-score</t>
  </si>
  <si>
    <t>HAZ</t>
  </si>
  <si>
    <t>Length/height for age z-score</t>
  </si>
  <si>
    <t>WHZ</t>
  </si>
  <si>
    <t>Weight for length/height z-score</t>
  </si>
  <si>
    <t>BAZ</t>
  </si>
  <si>
    <t>BMI for age z-score</t>
  </si>
  <si>
    <t>MUAZ</t>
  </si>
  <si>
    <t>MUAC for age z-score</t>
  </si>
  <si>
    <t>HGB</t>
  </si>
  <si>
    <t>Hemoglobin (g/dL)</t>
  </si>
  <si>
    <t>EXBFDEF</t>
  </si>
  <si>
    <t>Definition of exclusive BF?</t>
  </si>
  <si>
    <t>FEEDING</t>
  </si>
  <si>
    <t>Feeding during neonatal period</t>
  </si>
  <si>
    <t>BFINITTM</t>
  </si>
  <si>
    <t>Time to initiation of breastfeeding (hours)</t>
  </si>
  <si>
    <t>CMFDINT</t>
  </si>
  <si>
    <t>Age of introduction of complimentary foods</t>
  </si>
  <si>
    <t>BFMODE</t>
  </si>
  <si>
    <t>Mode of feeding (pumped, expressed, at the breast)?</t>
  </si>
  <si>
    <t>BFEDFL</t>
  </si>
  <si>
    <t>Child breast fed on this day</t>
  </si>
  <si>
    <t>EXBFEDFL</t>
  </si>
  <si>
    <t>Exclusively breast-fed flag on this day</t>
  </si>
  <si>
    <t>DUR_BF</t>
  </si>
  <si>
    <t>Total duration child breast-fed (days)</t>
  </si>
  <si>
    <t>DUR_EBF</t>
  </si>
  <si>
    <t>Total duration child exclusively breast-fed (days)</t>
  </si>
  <si>
    <t>FORMLKFL</t>
  </si>
  <si>
    <t>Child fed with infant formula on this day</t>
  </si>
  <si>
    <t>SLDFEDFL</t>
  </si>
  <si>
    <t>Child fed with solid / semi-solid on this day</t>
  </si>
  <si>
    <t>VISIT_R_FL</t>
  </si>
  <si>
    <t>Recall Visit Flag</t>
  </si>
  <si>
    <t>DUR_R</t>
  </si>
  <si>
    <t>Duration of recall (days)</t>
  </si>
  <si>
    <t>ANMLK_R</t>
  </si>
  <si>
    <t>Child fed with animal milk (recall data)</t>
  </si>
  <si>
    <t>FORMLK_R</t>
  </si>
  <si>
    <t>Child fed with formula (recall data)</t>
  </si>
  <si>
    <t>SLDFED_R</t>
  </si>
  <si>
    <t>Child fed with solid / semi-solid (recall data)</t>
  </si>
  <si>
    <t>BMCOL_FL</t>
  </si>
  <si>
    <t>Breastmilk sample collection flag</t>
  </si>
  <si>
    <t>BMID</t>
  </si>
  <si>
    <t>Breastmilk Specimen id</t>
  </si>
  <si>
    <t>FEVER</t>
  </si>
  <si>
    <t>Fever</t>
  </si>
  <si>
    <t>COUGH</t>
  </si>
  <si>
    <t>Cough</t>
  </si>
  <si>
    <t>DIARR</t>
  </si>
  <si>
    <t>Diarrhea</t>
  </si>
  <si>
    <t>VOMIT</t>
  </si>
  <si>
    <t>Vomiting</t>
  </si>
  <si>
    <t>FEVER_R</t>
  </si>
  <si>
    <t>Fever (Recall Data)</t>
  </si>
  <si>
    <t>COUGH_R</t>
  </si>
  <si>
    <t>Cough (Recall Data)</t>
  </si>
  <si>
    <t>DIARR_R</t>
  </si>
  <si>
    <t>Diarrhea (Recall Data)</t>
  </si>
  <si>
    <t>VOMIT_R</t>
  </si>
  <si>
    <t>Vomiting (Recall Data)</t>
  </si>
  <si>
    <t>PHYSICAN</t>
  </si>
  <si>
    <t>Physician visits</t>
  </si>
  <si>
    <t>HOSP</t>
  </si>
  <si>
    <t>Hospital visits</t>
  </si>
  <si>
    <t>ANTIBIOT</t>
  </si>
  <si>
    <t>Antibiotics administered</t>
  </si>
  <si>
    <t>ANTI_ORAL</t>
  </si>
  <si>
    <t>Oral antibiotics</t>
  </si>
  <si>
    <t>ANTI_INJ</t>
  </si>
  <si>
    <t>Injectible antibiotics</t>
  </si>
  <si>
    <t>ANTI_R</t>
  </si>
  <si>
    <t>Antibiotics administered (Recall Data)</t>
  </si>
  <si>
    <t>ANTI_OR_R</t>
  </si>
  <si>
    <t>Oral antibiotics (Recall Data)</t>
  </si>
  <si>
    <t>ANTI_IN_R</t>
  </si>
  <si>
    <t>Injectible antibiotics (Recall Data)</t>
  </si>
  <si>
    <t>MCRP</t>
  </si>
  <si>
    <t>Maternal C-Reactive protein level in serum</t>
  </si>
  <si>
    <t>MFERRITIN</t>
  </si>
  <si>
    <t>Maternal ferritin level in serum</t>
  </si>
  <si>
    <t>MSTRF</t>
  </si>
  <si>
    <t>Maternal transferin level in serum</t>
  </si>
  <si>
    <t>MAGP</t>
  </si>
  <si>
    <t>Maternal alpha(1)-acid glycoprotein in serum</t>
  </si>
  <si>
    <t>ORIGIN_SDTM</t>
  </si>
  <si>
    <t>ORIGIN_RAW</t>
  </si>
  <si>
    <t>Comments</t>
  </si>
  <si>
    <t>SITES.COUNTRY</t>
  </si>
  <si>
    <t>SITES.CITYTOWN</t>
  </si>
  <si>
    <t>SUBJ.STUDYID</t>
  </si>
  <si>
    <t>SUBJ.SITEID</t>
  </si>
  <si>
    <t>SUBJ.ARMCD</t>
  </si>
  <si>
    <t>SUBJIDO_A</t>
  </si>
  <si>
    <t>Alternate Subject ID Original</t>
  </si>
  <si>
    <t>JUSTIN_LAB.Q1
CRF11_MORBIDITY.CRF11_Q1
CRF2_ELIGIBILITY.ASSID
CRF3A_RANDOMIZATION.ASSID
CRF3B_BASELINE.CRF3B_Q1
CRF3C_BANTHRO.ASSID</t>
  </si>
  <si>
    <t>JUSTIN_LAB.Q4
CRF11_MORBIDITY.CRF11_Q2
CRF3A_RANDOMIZATION.STUDYID
CRF3B_BASELINE.CRF3B_Q2
CRF3C_BANTHRO.CRF3C_Q2
Crf4a_ebf24.crf4a_q2
Crf4b_assess.crf4b_q2
Crf5a_compliance.crf5a_q1
crf6_anthro.assid
crf8_sae.studyid
Infants_blood_biomarkers.q1
Zscore_for_each_visit.studyid</t>
  </si>
  <si>
    <t>Distinct subjects sorted by SUBJIDO. Assigned as unique incremental id per subject.</t>
  </si>
  <si>
    <t>Please use either SUBJIDO or SUBJIDO_A for linking subjects to raw data</t>
  </si>
  <si>
    <t>Derived</t>
  </si>
  <si>
    <t>SUBJ.ARM</t>
  </si>
  <si>
    <t>CRF3A_RANDOMIZATION.Q9</t>
  </si>
  <si>
    <t>Derived using raw variable</t>
  </si>
  <si>
    <t>if . &lt; gageus &lt;= 350 then 
		do; gagebrth = gageus; 
			gagecm = 'Estimated from ultrasound';
		end;
	else if . &lt; gagelmp &lt;= 350 then 
		do; gagebrth = gagelmp; 
			gagecm = 'Estimated from LMP';
		end;</t>
  </si>
  <si>
    <t>Derivation</t>
  </si>
  <si>
    <t>GAGELMP derived from coalesce(CRF2_Q17, CRF2_Q12)
GAGEUS derived from CRF2_Q18
GAGEBRTH derived as in derivation</t>
  </si>
  <si>
    <t>SUBJ.GAGEBRTH</t>
  </si>
  <si>
    <t>SUBJ.GAGECM</t>
  </si>
  <si>
    <t>Check above</t>
  </si>
  <si>
    <t>PREGHX.GRAVIDA</t>
  </si>
  <si>
    <t>CRF3B_Q36</t>
  </si>
  <si>
    <t>CRF2_Q8</t>
  </si>
  <si>
    <t>Zscore_for_each_visit.BLENGTH</t>
  </si>
  <si>
    <t>Zscore_for_each_visit.BWEIGHT</t>
  </si>
  <si>
    <t>CRF3B_Q94, CRF3B_Q95</t>
  </si>
  <si>
    <t>Derived on 2 raw variables</t>
  </si>
  <si>
    <t>CRF3B_Q94</t>
  </si>
  <si>
    <t>If 1 then PARITY = 1. Else missing</t>
  </si>
  <si>
    <t>If PARITY = 1 then 1. Else if NLIVBRTH gt 1 then 0</t>
  </si>
  <si>
    <t>CRF3B_Q94, CRF3B_Q96_A</t>
  </si>
  <si>
    <t>CRF3B_Q96_A</t>
  </si>
  <si>
    <t>PREGHX.PARITY, NLIVBRTH</t>
  </si>
  <si>
    <t>SUM(CRF3B_Q97_A to CRF3B_Q97_D)</t>
  </si>
  <si>
    <t>CRF3B_Q17</t>
  </si>
  <si>
    <t>PARENTS.MAGE</t>
  </si>
  <si>
    <t>CRF3B_Q20</t>
  </si>
  <si>
    <t>PARENTS.MEDUCYRS</t>
  </si>
  <si>
    <t>SS.SSSTRESN where SSTESTCD = NPERSON</t>
  </si>
  <si>
    <t>SS.SSSTRESN where SSTESTCD = NROOMS</t>
  </si>
  <si>
    <t>SS.SSSTRESN where SSTESTCD = H2OSRCP</t>
  </si>
  <si>
    <t>SS.SSSTRESN where SSTESTCD = FLOOR</t>
  </si>
  <si>
    <t>SS.SSSTRESN where SSTESTCD = COOKPLAC</t>
  </si>
  <si>
    <t>Date derived from multiple date variables as applicable</t>
  </si>
  <si>
    <t>GAGEBRTH+AGEDAYS</t>
  </si>
  <si>
    <t>CRF11_MORBIDITY: Records sorted by subjid, agedays. Assigned as "Unscheduled" + sequence of record
CRF2_ELIGIBILITY: Screening
CRF3A_RANDOMIZATION: Randomization
CRF3B_BASELINE / CRF3C_BANTHRO: Baseline
If same visit date Baseline&gt;Randomization&gt;Screening
Follow Up Visits:
Follow Up + (CRF4A_Q1, CRF4B_Q1, CRF5A_Q2, CRF6_Q1, CRF8_Q4, VNO)
Follow up derived by concatenating with follow up numbers from above variables
JUSTIN_LAB: Check DDF for VISIT assignment in U:\KiData_MNCH_IMiC\VITAL-Lactation\Final\raw</t>
  </si>
  <si>
    <t>Check AGEDAYS raw variables in  U:\KiData_MNCH_IMiC\VITAL-Lactation\Final\raw</t>
  </si>
  <si>
    <t>Assigned</t>
  </si>
  <si>
    <t>Assigned Check DDF for EPOCH assignment in U:\KiData_MNCH_IMiC\VITAL-Lactation\Final\raw</t>
  </si>
  <si>
    <t>From Respective SDTMs
If multiple visits from different datasets have same agedays then following preference order followed:
ANTHRO&gt;LB&gt;RANTHRO&gt;Other datasets
In Justin Lab:
If VISIT is same and date is different due to different sample collection dates (which are close together), below date preference considered to avoid additional multple visits:
LAB date &gt; STOOL date &gt; BM Sample collection date</t>
  </si>
  <si>
    <t>RANTHRO.BMI</t>
  </si>
  <si>
    <t>RANTHRO.HTCM</t>
  </si>
  <si>
    <t>RANTHRO.MUACCM</t>
  </si>
  <si>
    <t>RANTHRO.WTKG</t>
  </si>
  <si>
    <t>Q81, Q144</t>
  </si>
  <si>
    <t>LB.LBSTREN where LBTESTCD = 'HGB' and RELTIVE = Mother</t>
  </si>
  <si>
    <t>SUBJ.PREGOUT</t>
  </si>
  <si>
    <t>SUBJ.DELIVERY</t>
  </si>
  <si>
    <t>CRF2_Q7</t>
  </si>
  <si>
    <t>PREGHX.DLVLOCN</t>
  </si>
  <si>
    <t>Derived based on birth month and country climate</t>
  </si>
  <si>
    <t>ANTHRO.WTKG</t>
  </si>
  <si>
    <t>ANTHRO.BMI</t>
  </si>
  <si>
    <t>ANTHRO.MUACCM</t>
  </si>
  <si>
    <t>ANTHRO.WAZ</t>
  </si>
  <si>
    <t>ANTHRO.HAZ</t>
  </si>
  <si>
    <t>ANTHRO.WHZ</t>
  </si>
  <si>
    <t>ANTHRO.BAZ</t>
  </si>
  <si>
    <t>ANTHRO.MUAZ</t>
  </si>
  <si>
    <t>ANTHRO.LENCM / ANTHRO.HTCM</t>
  </si>
  <si>
    <t>Check TARGETDS, TARGETVR in U:\KiData_MNCH_IMiC\VITAL-Lactation\Final\raw\DDF-FINAL-VITAL-Lactation</t>
  </si>
  <si>
    <t xml:space="preserve">Check TARGETDS, TARGETVR in U:\KiData_MNCH_IMiC\VITAL-Lactation\Final\raw\DDF-FINAL-VITAL-Lactation
Where data collected in multiple timepoints, average is considered (e.g. mean of Q124, Q125) </t>
  </si>
  <si>
    <t>Check TARGETDS, TARGETVR in U:\KiData_MNCH_IMiC\VITAL-Lactation\Final\raw\DDF-FINAL-VITAL-Lactation
Where data collected in multiple timepoints, average is considered.</t>
  </si>
  <si>
    <t>LB.LBSTREN where LBTESTCD = 'HGB' and RELTIVE = Child</t>
  </si>
  <si>
    <t>Q93, Q156</t>
  </si>
  <si>
    <t>SUBJ.FEEDINGN</t>
  </si>
  <si>
    <t>CRF3B_Q58</t>
  </si>
  <si>
    <t>DAILY.BFEDFL</t>
  </si>
  <si>
    <t>Min(agedays) where (sum(sldfedfl,sldfed_r) &gt; 0))</t>
  </si>
  <si>
    <t>crf4a_d_q21</t>
  </si>
  <si>
    <t>DAILY.EXBFEDFL</t>
  </si>
  <si>
    <t>DAILY.SLDFEDFL</t>
  </si>
  <si>
    <t>DAILY.DUR_R</t>
  </si>
  <si>
    <t>DAILY.ANMLK_R</t>
  </si>
  <si>
    <t>DAILY.FORMLK_R</t>
  </si>
  <si>
    <t>DAILY.SLDFED_R</t>
  </si>
  <si>
    <t>If CRF4A_Q58 gt 0 then BFEDFL = 1</t>
  </si>
  <si>
    <t>If CRF4A_Q58 gt 0 and crf4a_q60 = 0 then EXBFEDFL = 1</t>
  </si>
  <si>
    <t>Max(AGEDAYS) - min(agedays) where BFEDFL = 1</t>
  </si>
  <si>
    <t>Max(AGEDAYS) - min(agedays) where EXBFEDFL = 1</t>
  </si>
  <si>
    <t>CRF4A_Q59</t>
  </si>
  <si>
    <t>CRF3B_Q62_A</t>
  </si>
  <si>
    <t>CRF3B_Q63_F</t>
  </si>
  <si>
    <t>If(CRF3B_Q62_H, CRF3B_Q62_J, CRF3B_Q62_K, CRF3B_Q62_M) = 1</t>
  </si>
  <si>
    <t>JUSTIN_LAB.Q77 (D42), Q140 (D56)</t>
  </si>
  <si>
    <t>If BMID ne '' then 1</t>
  </si>
  <si>
    <t>DAILY.DIARFL</t>
  </si>
  <si>
    <t>DAILY.VOMFL</t>
  </si>
  <si>
    <t>DAILY.DIARFL_R</t>
  </si>
  <si>
    <t>DAILY.VOMFL_R</t>
  </si>
  <si>
    <t>CRF4B_Q8_F</t>
  </si>
  <si>
    <t>CM.CEDECOD = Pyrexia</t>
  </si>
  <si>
    <t>CM.CEDECOD = Cough</t>
  </si>
  <si>
    <t>CRF11_Q12, CRF3B_Q65_F</t>
  </si>
  <si>
    <t>CRF3B_Q65_B, CRF4B_Q8_B</t>
  </si>
  <si>
    <t>CRF11_Q15, CRF3B_Q88_A, CRF4B_Q37_A</t>
  </si>
  <si>
    <t>CRF11_Q18, CRF3B_Q65_M, CRF4B_Q37_D</t>
  </si>
  <si>
    <t>CRF3B_Q65_M, CRF4B_Q8_M</t>
  </si>
  <si>
    <t>CRF11_Q17
CRF11_Q44
CRF3B_Q88_C
CRF4A_D_Q25
CRF4B_Q37_C</t>
  </si>
  <si>
    <t>CRF3B_Q65_L
CRF4B_Q8_L</t>
  </si>
  <si>
    <t>CRF3B_Q57_B, CRF3B_Q63_D, CRF4B_Q9,CRF8_Q28_2</t>
  </si>
  <si>
    <t>where hosp = 1</t>
  </si>
  <si>
    <t>Derived from multiple CM records</t>
  </si>
  <si>
    <t>Q84, Q147</t>
  </si>
  <si>
    <t>Q82, Q145</t>
  </si>
  <si>
    <t>Q83, Q146</t>
  </si>
  <si>
    <t>Q85, Q148</t>
  </si>
  <si>
    <t>LB.LBSTRESN where LBTESTCD = 'CRP' and RELTIVE = Mother</t>
  </si>
  <si>
    <t>LB.LBSTRESN where LBTESTCD = 'FERRITIN' and RELTIVE = Mother</t>
  </si>
  <si>
    <t>LB.LBSTRESN where LBTESTCD = 'STRF' and RELTIVE = Mother</t>
  </si>
  <si>
    <t>LB.LBSTRESN where LBTESTCD = 'AGP' and RELTIVE = Mother</t>
  </si>
  <si>
    <t>CE dataset only consist record if event exist. For complete data, values are populated from raw
CRF11_MORBIDITY takes preference over other datasets incase of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</si>
</sst>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C67" workbookViewId="0">
      <selection activeCell="J81" sqref="J81:J88"/>
    </sheetView>
  </sheetViews>
  <sheetFormatPr defaultRowHeight="14.5" x14ac:dyDescent="0.35"/>
  <cols>
    <col min="1" max="1" width="9" customWidth="1"/>
    <col min="2" max="2" width="33" customWidth="1"/>
    <col min="3" max="3" width="11.7265625" bestFit="1" customWidth="1"/>
    <col min="4" max="4" width="36.1796875" customWidth="1"/>
    <col min="5" max="5" width="9.1796875" bestFit="1" customWidth="1"/>
    <col min="6" max="6" width="5" customWidth="1"/>
    <col min="7" max="7" width="7.81640625" bestFit="1" customWidth="1"/>
    <col min="8" max="8" width="36.81640625" bestFit="1" customWidth="1"/>
    <col min="9" max="10" width="61.26953125" customWidth="1"/>
    <col min="11" max="11" width="76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207</v>
      </c>
      <c r="I1" t="s">
        <v>208</v>
      </c>
      <c r="J1" t="s">
        <v>226</v>
      </c>
      <c r="K1" t="s">
        <v>209</v>
      </c>
    </row>
    <row r="2" spans="1:11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>
        <v>40</v>
      </c>
      <c r="H2" t="s">
        <v>210</v>
      </c>
    </row>
    <row r="3" spans="1:11" x14ac:dyDescent="0.35">
      <c r="A3" t="s">
        <v>7</v>
      </c>
      <c r="B3" t="s">
        <v>8</v>
      </c>
      <c r="C3" t="s">
        <v>12</v>
      </c>
      <c r="D3" t="s">
        <v>13</v>
      </c>
      <c r="E3">
        <v>2</v>
      </c>
      <c r="F3" t="s">
        <v>11</v>
      </c>
      <c r="G3">
        <v>40</v>
      </c>
      <c r="H3" t="s">
        <v>212</v>
      </c>
    </row>
    <row r="4" spans="1:11" x14ac:dyDescent="0.35">
      <c r="A4" t="s">
        <v>7</v>
      </c>
      <c r="B4" t="s">
        <v>8</v>
      </c>
      <c r="C4" t="s">
        <v>14</v>
      </c>
      <c r="D4" t="s">
        <v>15</v>
      </c>
      <c r="E4">
        <v>3</v>
      </c>
      <c r="F4" t="s">
        <v>16</v>
      </c>
      <c r="G4">
        <v>8</v>
      </c>
      <c r="H4" t="s">
        <v>213</v>
      </c>
    </row>
    <row r="5" spans="1:11" x14ac:dyDescent="0.35">
      <c r="A5" t="s">
        <v>7</v>
      </c>
      <c r="B5" t="s">
        <v>8</v>
      </c>
      <c r="C5" t="s">
        <v>17</v>
      </c>
      <c r="D5" t="s">
        <v>18</v>
      </c>
      <c r="E5">
        <v>4</v>
      </c>
      <c r="F5" t="s">
        <v>11</v>
      </c>
      <c r="G5">
        <v>40</v>
      </c>
      <c r="H5" t="s">
        <v>211</v>
      </c>
    </row>
    <row r="6" spans="1:11" x14ac:dyDescent="0.35">
      <c r="A6" t="s">
        <v>7</v>
      </c>
      <c r="B6" t="s">
        <v>8</v>
      </c>
      <c r="C6" t="s">
        <v>19</v>
      </c>
      <c r="D6" t="s">
        <v>20</v>
      </c>
      <c r="E6">
        <v>5</v>
      </c>
      <c r="F6" t="s">
        <v>16</v>
      </c>
      <c r="G6">
        <v>8</v>
      </c>
      <c r="H6" t="s">
        <v>212</v>
      </c>
      <c r="K6" t="s">
        <v>219</v>
      </c>
    </row>
    <row r="7" spans="1:11" ht="87" x14ac:dyDescent="0.35">
      <c r="A7" t="s">
        <v>7</v>
      </c>
      <c r="B7" t="s">
        <v>8</v>
      </c>
      <c r="C7" t="s">
        <v>21</v>
      </c>
      <c r="D7" t="s">
        <v>22</v>
      </c>
      <c r="E7">
        <v>6</v>
      </c>
      <c r="F7" t="s">
        <v>11</v>
      </c>
      <c r="G7">
        <v>40</v>
      </c>
      <c r="I7" s="1" t="s">
        <v>217</v>
      </c>
      <c r="J7" s="1"/>
      <c r="K7" t="s">
        <v>220</v>
      </c>
    </row>
    <row r="8" spans="1:11" ht="174" x14ac:dyDescent="0.35">
      <c r="A8" t="s">
        <v>7</v>
      </c>
      <c r="B8" t="s">
        <v>8</v>
      </c>
      <c r="C8" t="s">
        <v>215</v>
      </c>
      <c r="D8" t="s">
        <v>216</v>
      </c>
      <c r="E8">
        <v>6</v>
      </c>
      <c r="F8" t="s">
        <v>11</v>
      </c>
      <c r="G8">
        <v>40</v>
      </c>
      <c r="I8" s="1" t="s">
        <v>218</v>
      </c>
      <c r="J8" s="1"/>
    </row>
    <row r="9" spans="1:11" x14ac:dyDescent="0.35">
      <c r="A9" t="s">
        <v>7</v>
      </c>
      <c r="B9" t="s">
        <v>8</v>
      </c>
      <c r="C9" t="s">
        <v>23</v>
      </c>
      <c r="D9" t="s">
        <v>24</v>
      </c>
      <c r="E9">
        <v>7</v>
      </c>
      <c r="F9" t="s">
        <v>16</v>
      </c>
      <c r="G9">
        <v>8</v>
      </c>
      <c r="H9" t="s">
        <v>221</v>
      </c>
    </row>
    <row r="10" spans="1:11" x14ac:dyDescent="0.35">
      <c r="A10" t="s">
        <v>7</v>
      </c>
      <c r="B10" t="s">
        <v>8</v>
      </c>
      <c r="C10" t="s">
        <v>25</v>
      </c>
      <c r="D10" t="s">
        <v>26</v>
      </c>
      <c r="E10">
        <v>8</v>
      </c>
      <c r="F10" t="s">
        <v>11</v>
      </c>
      <c r="G10">
        <v>200</v>
      </c>
      <c r="H10" t="s">
        <v>222</v>
      </c>
      <c r="I10" t="s">
        <v>223</v>
      </c>
    </row>
    <row r="11" spans="1:11" x14ac:dyDescent="0.35">
      <c r="A11" t="s">
        <v>7</v>
      </c>
      <c r="B11" t="s">
        <v>8</v>
      </c>
      <c r="C11" t="s">
        <v>27</v>
      </c>
      <c r="D11" t="s">
        <v>28</v>
      </c>
      <c r="E11">
        <v>9</v>
      </c>
      <c r="F11" t="s">
        <v>16</v>
      </c>
      <c r="G11">
        <v>8</v>
      </c>
      <c r="H11" t="s">
        <v>214</v>
      </c>
      <c r="I11" t="s">
        <v>223</v>
      </c>
      <c r="K11" t="s">
        <v>224</v>
      </c>
    </row>
    <row r="12" spans="1:11" ht="116" x14ac:dyDescent="0.35">
      <c r="A12" t="s">
        <v>7</v>
      </c>
      <c r="B12" t="s">
        <v>8</v>
      </c>
      <c r="C12" t="s">
        <v>29</v>
      </c>
      <c r="D12" t="s">
        <v>30</v>
      </c>
      <c r="E12">
        <v>10</v>
      </c>
      <c r="F12" t="s">
        <v>16</v>
      </c>
      <c r="G12">
        <v>8</v>
      </c>
      <c r="H12" t="s">
        <v>228</v>
      </c>
      <c r="I12" s="1" t="s">
        <v>227</v>
      </c>
      <c r="J12" s="1" t="s">
        <v>225</v>
      </c>
    </row>
    <row r="13" spans="1:11" x14ac:dyDescent="0.35">
      <c r="A13" t="s">
        <v>7</v>
      </c>
      <c r="B13" t="s">
        <v>8</v>
      </c>
      <c r="C13" t="s">
        <v>31</v>
      </c>
      <c r="D13" t="s">
        <v>32</v>
      </c>
      <c r="E13">
        <v>11</v>
      </c>
      <c r="F13" t="s">
        <v>11</v>
      </c>
      <c r="G13">
        <v>200</v>
      </c>
      <c r="H13" t="s">
        <v>229</v>
      </c>
      <c r="I13" t="s">
        <v>230</v>
      </c>
    </row>
    <row r="14" spans="1:11" x14ac:dyDescent="0.35">
      <c r="A14" t="s">
        <v>7</v>
      </c>
      <c r="B14" t="s">
        <v>8</v>
      </c>
      <c r="C14" t="s">
        <v>33</v>
      </c>
      <c r="D14" t="s">
        <v>34</v>
      </c>
      <c r="E14">
        <v>12</v>
      </c>
      <c r="F14" t="s">
        <v>16</v>
      </c>
      <c r="G14">
        <v>8</v>
      </c>
      <c r="H14" t="str">
        <f>"SUBJ."&amp;C14</f>
        <v>SUBJ.SEXN</v>
      </c>
      <c r="I14" t="s">
        <v>232</v>
      </c>
    </row>
    <row r="15" spans="1:11" x14ac:dyDescent="0.35">
      <c r="A15" t="s">
        <v>7</v>
      </c>
      <c r="B15" t="s">
        <v>8</v>
      </c>
      <c r="C15" t="s">
        <v>35</v>
      </c>
      <c r="D15" t="s">
        <v>36</v>
      </c>
      <c r="E15">
        <v>13</v>
      </c>
      <c r="F15" t="s">
        <v>11</v>
      </c>
      <c r="G15">
        <v>8</v>
      </c>
      <c r="H15" t="str">
        <f t="shared" ref="H15:H19" si="0">"SUBJ."&amp;C15</f>
        <v>SUBJ.SEX</v>
      </c>
      <c r="I15" t="s">
        <v>232</v>
      </c>
    </row>
    <row r="16" spans="1:11" x14ac:dyDescent="0.35">
      <c r="A16" t="s">
        <v>7</v>
      </c>
      <c r="B16" t="s">
        <v>8</v>
      </c>
      <c r="C16" t="s">
        <v>37</v>
      </c>
      <c r="D16" t="s">
        <v>38</v>
      </c>
      <c r="E16">
        <v>14</v>
      </c>
      <c r="F16" t="s">
        <v>16</v>
      </c>
      <c r="G16">
        <v>8</v>
      </c>
      <c r="H16" t="str">
        <f t="shared" si="0"/>
        <v>SUBJ.BRTHYR</v>
      </c>
      <c r="I16" t="s">
        <v>233</v>
      </c>
    </row>
    <row r="17" spans="1:10" x14ac:dyDescent="0.35">
      <c r="A17" t="s">
        <v>7</v>
      </c>
      <c r="B17" t="s">
        <v>8</v>
      </c>
      <c r="C17" t="s">
        <v>39</v>
      </c>
      <c r="D17" t="s">
        <v>40</v>
      </c>
      <c r="E17">
        <v>15</v>
      </c>
      <c r="F17" t="s">
        <v>16</v>
      </c>
      <c r="G17">
        <v>8</v>
      </c>
      <c r="H17" t="str">
        <f t="shared" si="0"/>
        <v>SUBJ.BRTHWEEK</v>
      </c>
      <c r="I17" t="s">
        <v>233</v>
      </c>
    </row>
    <row r="18" spans="1:10" x14ac:dyDescent="0.35">
      <c r="A18" t="s">
        <v>7</v>
      </c>
      <c r="B18" t="s">
        <v>8</v>
      </c>
      <c r="C18" t="s">
        <v>41</v>
      </c>
      <c r="D18" t="s">
        <v>42</v>
      </c>
      <c r="E18">
        <v>16</v>
      </c>
      <c r="F18" t="s">
        <v>16</v>
      </c>
      <c r="G18">
        <v>8</v>
      </c>
      <c r="H18" t="str">
        <f t="shared" si="0"/>
        <v>SUBJ.BIRTHWT</v>
      </c>
      <c r="I18" t="s">
        <v>235</v>
      </c>
    </row>
    <row r="19" spans="1:10" x14ac:dyDescent="0.35">
      <c r="A19" t="s">
        <v>7</v>
      </c>
      <c r="B19" t="s">
        <v>8</v>
      </c>
      <c r="C19" t="s">
        <v>43</v>
      </c>
      <c r="D19" t="s">
        <v>44</v>
      </c>
      <c r="E19">
        <v>17</v>
      </c>
      <c r="F19" t="s">
        <v>16</v>
      </c>
      <c r="G19">
        <v>8</v>
      </c>
      <c r="H19" t="str">
        <f t="shared" si="0"/>
        <v>SUBJ.BIRTHLEN</v>
      </c>
      <c r="I19" t="s">
        <v>234</v>
      </c>
    </row>
    <row r="20" spans="1:10" x14ac:dyDescent="0.35">
      <c r="A20" t="s">
        <v>7</v>
      </c>
      <c r="B20" t="s">
        <v>8</v>
      </c>
      <c r="C20" t="s">
        <v>45</v>
      </c>
      <c r="D20" t="s">
        <v>46</v>
      </c>
      <c r="E20">
        <v>18</v>
      </c>
      <c r="F20" t="s">
        <v>16</v>
      </c>
      <c r="G20">
        <v>8</v>
      </c>
      <c r="H20" t="s">
        <v>231</v>
      </c>
      <c r="I20" t="s">
        <v>236</v>
      </c>
      <c r="J20" t="s">
        <v>237</v>
      </c>
    </row>
    <row r="21" spans="1:10" x14ac:dyDescent="0.35">
      <c r="A21" t="s">
        <v>7</v>
      </c>
      <c r="B21" t="s">
        <v>8</v>
      </c>
      <c r="C21" t="s">
        <v>47</v>
      </c>
      <c r="D21" t="s">
        <v>48</v>
      </c>
      <c r="E21">
        <v>19</v>
      </c>
      <c r="F21" t="s">
        <v>16</v>
      </c>
      <c r="G21">
        <v>8</v>
      </c>
      <c r="H21" t="s">
        <v>246</v>
      </c>
      <c r="I21" t="s">
        <v>245</v>
      </c>
    </row>
    <row r="22" spans="1:10" x14ac:dyDescent="0.35">
      <c r="A22" t="s">
        <v>7</v>
      </c>
      <c r="B22" t="s">
        <v>8</v>
      </c>
      <c r="C22" t="s">
        <v>49</v>
      </c>
      <c r="D22" t="s">
        <v>50</v>
      </c>
      <c r="E22">
        <v>20</v>
      </c>
      <c r="F22" t="s">
        <v>16</v>
      </c>
      <c r="G22">
        <v>8</v>
      </c>
      <c r="H22" t="s">
        <v>231</v>
      </c>
      <c r="I22" t="s">
        <v>236</v>
      </c>
      <c r="J22" t="s">
        <v>237</v>
      </c>
    </row>
    <row r="23" spans="1:10" x14ac:dyDescent="0.35">
      <c r="A23" t="s">
        <v>7</v>
      </c>
      <c r="B23" t="s">
        <v>8</v>
      </c>
      <c r="C23" t="s">
        <v>51</v>
      </c>
      <c r="D23" t="s">
        <v>52</v>
      </c>
      <c r="E23">
        <v>21</v>
      </c>
      <c r="F23" t="s">
        <v>16</v>
      </c>
      <c r="G23">
        <v>8</v>
      </c>
      <c r="H23" t="str">
        <f>"PREGHX."&amp;C23</f>
        <v>PREGHX.PARITY</v>
      </c>
      <c r="I23" t="s">
        <v>238</v>
      </c>
      <c r="J23" t="s">
        <v>239</v>
      </c>
    </row>
    <row r="24" spans="1:10" x14ac:dyDescent="0.35">
      <c r="A24" t="s">
        <v>7</v>
      </c>
      <c r="B24" t="s">
        <v>8</v>
      </c>
      <c r="C24" t="s">
        <v>53</v>
      </c>
      <c r="D24" t="s">
        <v>54</v>
      </c>
      <c r="E24">
        <v>22</v>
      </c>
      <c r="F24" t="s">
        <v>16</v>
      </c>
      <c r="G24">
        <v>8</v>
      </c>
      <c r="H24" t="s">
        <v>243</v>
      </c>
      <c r="I24" t="s">
        <v>241</v>
      </c>
      <c r="J24" t="s">
        <v>240</v>
      </c>
    </row>
    <row r="25" spans="1:10" x14ac:dyDescent="0.35">
      <c r="A25" t="s">
        <v>7</v>
      </c>
      <c r="B25" t="s">
        <v>8</v>
      </c>
      <c r="C25" t="s">
        <v>55</v>
      </c>
      <c r="D25" t="s">
        <v>56</v>
      </c>
      <c r="E25">
        <v>23</v>
      </c>
      <c r="F25" t="s">
        <v>16</v>
      </c>
      <c r="G25">
        <v>8</v>
      </c>
      <c r="H25" t="str">
        <f>"PREGHX."&amp;C25</f>
        <v>PREGHX.NLIVBRTH</v>
      </c>
      <c r="I25" t="s">
        <v>242</v>
      </c>
    </row>
    <row r="26" spans="1:10" x14ac:dyDescent="0.35">
      <c r="A26" t="s">
        <v>7</v>
      </c>
      <c r="B26" t="s">
        <v>8</v>
      </c>
      <c r="C26" t="s">
        <v>57</v>
      </c>
      <c r="D26" t="s">
        <v>58</v>
      </c>
      <c r="E26">
        <v>24</v>
      </c>
      <c r="F26" t="s">
        <v>16</v>
      </c>
      <c r="G26">
        <v>8</v>
      </c>
      <c r="H26" t="str">
        <f>"PREGHX."&amp;C26</f>
        <v>PREGHX.NLCHILD</v>
      </c>
      <c r="I26" t="s">
        <v>244</v>
      </c>
    </row>
    <row r="27" spans="1:10" x14ac:dyDescent="0.35">
      <c r="A27" t="s">
        <v>7</v>
      </c>
      <c r="B27" t="s">
        <v>8</v>
      </c>
      <c r="C27" t="s">
        <v>59</v>
      </c>
      <c r="D27" t="s">
        <v>60</v>
      </c>
      <c r="E27">
        <v>25</v>
      </c>
      <c r="F27" t="s">
        <v>16</v>
      </c>
      <c r="G27">
        <v>8</v>
      </c>
      <c r="H27" t="s">
        <v>249</v>
      </c>
    </row>
    <row r="28" spans="1:10" x14ac:dyDescent="0.35">
      <c r="A28" t="s">
        <v>7</v>
      </c>
      <c r="B28" t="s">
        <v>8</v>
      </c>
      <c r="C28" t="s">
        <v>61</v>
      </c>
      <c r="D28" t="s">
        <v>62</v>
      </c>
      <c r="E28">
        <v>26</v>
      </c>
      <c r="F28" t="s">
        <v>16</v>
      </c>
      <c r="G28">
        <v>8</v>
      </c>
      <c r="H28" t="s">
        <v>250</v>
      </c>
    </row>
    <row r="29" spans="1:10" x14ac:dyDescent="0.35">
      <c r="A29" t="s">
        <v>7</v>
      </c>
      <c r="B29" t="s">
        <v>8</v>
      </c>
      <c r="C29" t="s">
        <v>63</v>
      </c>
      <c r="D29" t="s">
        <v>64</v>
      </c>
      <c r="E29">
        <v>27</v>
      </c>
      <c r="F29" t="s">
        <v>16</v>
      </c>
      <c r="G29">
        <v>8</v>
      </c>
      <c r="H29" t="s">
        <v>248</v>
      </c>
      <c r="I29" t="s">
        <v>247</v>
      </c>
    </row>
    <row r="30" spans="1:10" x14ac:dyDescent="0.35">
      <c r="A30" t="s">
        <v>7</v>
      </c>
      <c r="B30" t="s">
        <v>8</v>
      </c>
      <c r="C30" t="s">
        <v>65</v>
      </c>
      <c r="D30" t="s">
        <v>66</v>
      </c>
      <c r="E30">
        <v>28</v>
      </c>
      <c r="F30" t="s">
        <v>11</v>
      </c>
      <c r="G30">
        <v>40</v>
      </c>
      <c r="H30" t="s">
        <v>251</v>
      </c>
    </row>
    <row r="31" spans="1:10" x14ac:dyDescent="0.35">
      <c r="A31" t="s">
        <v>7</v>
      </c>
      <c r="B31" t="s">
        <v>8</v>
      </c>
      <c r="C31" t="s">
        <v>67</v>
      </c>
      <c r="D31" t="s">
        <v>68</v>
      </c>
      <c r="E31">
        <v>29</v>
      </c>
      <c r="F31" t="s">
        <v>11</v>
      </c>
      <c r="G31">
        <v>40</v>
      </c>
      <c r="H31" t="s">
        <v>252</v>
      </c>
    </row>
    <row r="32" spans="1:10" x14ac:dyDescent="0.35">
      <c r="A32" t="s">
        <v>7</v>
      </c>
      <c r="B32" t="s">
        <v>8</v>
      </c>
      <c r="C32" t="s">
        <v>69</v>
      </c>
      <c r="D32" t="s">
        <v>70</v>
      </c>
      <c r="E32">
        <v>30</v>
      </c>
      <c r="F32" t="s">
        <v>11</v>
      </c>
      <c r="G32">
        <v>40</v>
      </c>
      <c r="H32" t="s">
        <v>253</v>
      </c>
    </row>
    <row r="33" spans="1:9" x14ac:dyDescent="0.35">
      <c r="A33" t="s">
        <v>7</v>
      </c>
      <c r="B33" t="s">
        <v>8</v>
      </c>
      <c r="C33" t="s">
        <v>71</v>
      </c>
      <c r="D33" t="s">
        <v>72</v>
      </c>
      <c r="E33">
        <v>31</v>
      </c>
      <c r="F33" t="s">
        <v>16</v>
      </c>
      <c r="G33">
        <v>8</v>
      </c>
      <c r="H33" t="s">
        <v>254</v>
      </c>
      <c r="I33" t="s">
        <v>257</v>
      </c>
    </row>
    <row r="34" spans="1:9" x14ac:dyDescent="0.35">
      <c r="A34" t="s">
        <v>7</v>
      </c>
      <c r="B34" t="s">
        <v>8</v>
      </c>
      <c r="C34" t="s">
        <v>73</v>
      </c>
      <c r="D34" t="s">
        <v>74</v>
      </c>
      <c r="E34">
        <v>32</v>
      </c>
      <c r="F34" t="s">
        <v>16</v>
      </c>
      <c r="G34">
        <v>8</v>
      </c>
      <c r="H34" t="s">
        <v>255</v>
      </c>
    </row>
    <row r="35" spans="1:9" x14ac:dyDescent="0.35">
      <c r="A35" t="s">
        <v>7</v>
      </c>
      <c r="B35" t="s">
        <v>8</v>
      </c>
      <c r="C35" t="s">
        <v>75</v>
      </c>
      <c r="D35" t="s">
        <v>76</v>
      </c>
      <c r="E35">
        <v>33</v>
      </c>
      <c r="F35" t="s">
        <v>16</v>
      </c>
      <c r="G35">
        <v>8</v>
      </c>
      <c r="I35" t="s">
        <v>221</v>
      </c>
    </row>
    <row r="36" spans="1:9" x14ac:dyDescent="0.35">
      <c r="A36" t="s">
        <v>7</v>
      </c>
      <c r="B36" t="s">
        <v>8</v>
      </c>
      <c r="C36" t="s">
        <v>77</v>
      </c>
      <c r="D36" t="s">
        <v>78</v>
      </c>
      <c r="E36">
        <v>34</v>
      </c>
      <c r="F36" t="s">
        <v>11</v>
      </c>
      <c r="G36">
        <v>200</v>
      </c>
      <c r="I36" t="s">
        <v>221</v>
      </c>
    </row>
    <row r="37" spans="1:9" x14ac:dyDescent="0.35">
      <c r="A37" t="s">
        <v>7</v>
      </c>
      <c r="B37" t="s">
        <v>8</v>
      </c>
      <c r="C37" t="s">
        <v>79</v>
      </c>
      <c r="D37" t="s">
        <v>80</v>
      </c>
      <c r="E37">
        <v>35</v>
      </c>
      <c r="F37" t="s">
        <v>16</v>
      </c>
      <c r="G37">
        <v>8</v>
      </c>
      <c r="I37" t="s">
        <v>258</v>
      </c>
    </row>
    <row r="38" spans="1:9" ht="246.5" x14ac:dyDescent="0.35">
      <c r="A38" t="s">
        <v>7</v>
      </c>
      <c r="B38" t="s">
        <v>8</v>
      </c>
      <c r="C38" t="s">
        <v>81</v>
      </c>
      <c r="D38" t="s">
        <v>82</v>
      </c>
      <c r="E38">
        <v>36</v>
      </c>
      <c r="F38" t="s">
        <v>11</v>
      </c>
      <c r="G38">
        <v>60</v>
      </c>
      <c r="H38" s="1" t="s">
        <v>260</v>
      </c>
      <c r="I38" s="1" t="s">
        <v>256</v>
      </c>
    </row>
    <row r="39" spans="1:9" x14ac:dyDescent="0.35">
      <c r="A39" t="s">
        <v>7</v>
      </c>
      <c r="B39" t="s">
        <v>8</v>
      </c>
      <c r="C39" t="s">
        <v>83</v>
      </c>
      <c r="D39" t="s">
        <v>84</v>
      </c>
      <c r="E39">
        <v>37</v>
      </c>
      <c r="F39" t="s">
        <v>11</v>
      </c>
      <c r="G39">
        <v>200</v>
      </c>
      <c r="I39" t="s">
        <v>221</v>
      </c>
    </row>
    <row r="40" spans="1:9" x14ac:dyDescent="0.35">
      <c r="A40" t="s">
        <v>7</v>
      </c>
      <c r="B40" t="s">
        <v>8</v>
      </c>
      <c r="C40" t="s">
        <v>85</v>
      </c>
      <c r="D40" t="s">
        <v>86</v>
      </c>
      <c r="E40">
        <v>38</v>
      </c>
      <c r="F40" t="s">
        <v>16</v>
      </c>
      <c r="G40">
        <v>8</v>
      </c>
      <c r="I40" t="s">
        <v>258</v>
      </c>
    </row>
    <row r="41" spans="1:9" x14ac:dyDescent="0.35">
      <c r="A41" t="s">
        <v>7</v>
      </c>
      <c r="B41" t="s">
        <v>8</v>
      </c>
      <c r="C41" t="s">
        <v>87</v>
      </c>
      <c r="D41" t="s">
        <v>88</v>
      </c>
      <c r="E41">
        <v>39</v>
      </c>
      <c r="F41" t="s">
        <v>11</v>
      </c>
      <c r="G41">
        <v>60</v>
      </c>
      <c r="I41" t="s">
        <v>259</v>
      </c>
    </row>
    <row r="42" spans="1:9" x14ac:dyDescent="0.35">
      <c r="A42" t="s">
        <v>7</v>
      </c>
      <c r="B42" t="s">
        <v>8</v>
      </c>
      <c r="C42" t="s">
        <v>89</v>
      </c>
      <c r="D42" t="s">
        <v>90</v>
      </c>
      <c r="E42">
        <v>40</v>
      </c>
      <c r="F42" t="s">
        <v>16</v>
      </c>
      <c r="G42">
        <v>8</v>
      </c>
      <c r="H42" t="s">
        <v>261</v>
      </c>
      <c r="I42" t="s">
        <v>281</v>
      </c>
    </row>
    <row r="43" spans="1:9" ht="72.5" x14ac:dyDescent="0.35">
      <c r="A43" t="s">
        <v>7</v>
      </c>
      <c r="B43" t="s">
        <v>8</v>
      </c>
      <c r="C43" t="s">
        <v>91</v>
      </c>
      <c r="D43" t="s">
        <v>92</v>
      </c>
      <c r="E43">
        <v>41</v>
      </c>
      <c r="F43" t="s">
        <v>16</v>
      </c>
      <c r="G43">
        <v>8</v>
      </c>
      <c r="H43" t="s">
        <v>262</v>
      </c>
      <c r="I43" s="1" t="s">
        <v>282</v>
      </c>
    </row>
    <row r="44" spans="1:9" ht="58" x14ac:dyDescent="0.35">
      <c r="A44" t="s">
        <v>7</v>
      </c>
      <c r="B44" t="s">
        <v>8</v>
      </c>
      <c r="C44" t="s">
        <v>93</v>
      </c>
      <c r="D44" t="s">
        <v>94</v>
      </c>
      <c r="E44">
        <v>42</v>
      </c>
      <c r="F44" t="s">
        <v>16</v>
      </c>
      <c r="G44">
        <v>8</v>
      </c>
      <c r="H44" t="s">
        <v>264</v>
      </c>
      <c r="I44" s="1" t="s">
        <v>283</v>
      </c>
    </row>
    <row r="45" spans="1:9" ht="58" x14ac:dyDescent="0.35">
      <c r="A45" t="s">
        <v>7</v>
      </c>
      <c r="B45" t="s">
        <v>8</v>
      </c>
      <c r="C45" t="s">
        <v>95</v>
      </c>
      <c r="D45" t="s">
        <v>96</v>
      </c>
      <c r="E45">
        <v>43</v>
      </c>
      <c r="F45" t="s">
        <v>16</v>
      </c>
      <c r="G45">
        <v>8</v>
      </c>
      <c r="H45" t="s">
        <v>261</v>
      </c>
      <c r="I45" s="1" t="s">
        <v>283</v>
      </c>
    </row>
    <row r="46" spans="1:9" ht="58" x14ac:dyDescent="0.35">
      <c r="A46" t="s">
        <v>7</v>
      </c>
      <c r="B46" t="s">
        <v>8</v>
      </c>
      <c r="C46" t="s">
        <v>97</v>
      </c>
      <c r="D46" t="s">
        <v>98</v>
      </c>
      <c r="E46">
        <v>44</v>
      </c>
      <c r="F46" t="s">
        <v>16</v>
      </c>
      <c r="G46">
        <v>8</v>
      </c>
      <c r="H46" t="s">
        <v>263</v>
      </c>
      <c r="I46" s="1" t="s">
        <v>283</v>
      </c>
    </row>
    <row r="47" spans="1:9" x14ac:dyDescent="0.35">
      <c r="A47" t="s">
        <v>7</v>
      </c>
      <c r="B47" t="s">
        <v>8</v>
      </c>
      <c r="C47" t="s">
        <v>99</v>
      </c>
      <c r="D47" t="s">
        <v>100</v>
      </c>
      <c r="E47">
        <v>45</v>
      </c>
      <c r="F47" t="s">
        <v>16</v>
      </c>
      <c r="G47">
        <v>8</v>
      </c>
      <c r="H47" t="s">
        <v>266</v>
      </c>
      <c r="I47" s="1" t="s">
        <v>265</v>
      </c>
    </row>
    <row r="48" spans="1:9" x14ac:dyDescent="0.35">
      <c r="A48" t="s">
        <v>7</v>
      </c>
      <c r="B48" t="s">
        <v>8</v>
      </c>
      <c r="C48" t="s">
        <v>101</v>
      </c>
      <c r="D48" t="s">
        <v>102</v>
      </c>
      <c r="E48">
        <v>46</v>
      </c>
      <c r="F48" t="s">
        <v>16</v>
      </c>
      <c r="G48">
        <v>8</v>
      </c>
      <c r="H48" t="s">
        <v>267</v>
      </c>
      <c r="I48" s="1" t="s">
        <v>269</v>
      </c>
    </row>
    <row r="49" spans="1:9" x14ac:dyDescent="0.35">
      <c r="A49" t="s">
        <v>7</v>
      </c>
      <c r="B49" t="s">
        <v>8</v>
      </c>
      <c r="C49" t="s">
        <v>103</v>
      </c>
      <c r="D49" t="s">
        <v>104</v>
      </c>
      <c r="E49">
        <v>47</v>
      </c>
      <c r="F49" t="s">
        <v>16</v>
      </c>
      <c r="G49">
        <v>8</v>
      </c>
      <c r="I49" s="1" t="s">
        <v>233</v>
      </c>
    </row>
    <row r="50" spans="1:9" x14ac:dyDescent="0.35">
      <c r="A50" t="s">
        <v>7</v>
      </c>
      <c r="B50" t="s">
        <v>8</v>
      </c>
      <c r="C50" t="s">
        <v>105</v>
      </c>
      <c r="D50" t="s">
        <v>106</v>
      </c>
      <c r="E50">
        <v>48</v>
      </c>
      <c r="F50" t="s">
        <v>16</v>
      </c>
      <c r="G50">
        <v>8</v>
      </c>
      <c r="H50" t="s">
        <v>268</v>
      </c>
    </row>
    <row r="51" spans="1:9" x14ac:dyDescent="0.35">
      <c r="A51" t="s">
        <v>7</v>
      </c>
      <c r="B51" t="s">
        <v>8</v>
      </c>
      <c r="C51" t="s">
        <v>107</v>
      </c>
      <c r="D51" t="s">
        <v>108</v>
      </c>
      <c r="E51">
        <v>49</v>
      </c>
      <c r="F51" t="s">
        <v>16</v>
      </c>
      <c r="G51">
        <v>8</v>
      </c>
      <c r="H51" t="s">
        <v>270</v>
      </c>
    </row>
    <row r="52" spans="1:9" x14ac:dyDescent="0.35">
      <c r="A52" t="s">
        <v>7</v>
      </c>
      <c r="B52" t="s">
        <v>8</v>
      </c>
      <c r="C52" t="s">
        <v>109</v>
      </c>
      <c r="D52" t="s">
        <v>110</v>
      </c>
      <c r="E52">
        <v>50</v>
      </c>
      <c r="F52" t="s">
        <v>11</v>
      </c>
      <c r="G52">
        <v>40</v>
      </c>
      <c r="I52" s="1" t="s">
        <v>271</v>
      </c>
    </row>
    <row r="53" spans="1:9" ht="58" x14ac:dyDescent="0.35">
      <c r="A53" t="s">
        <v>7</v>
      </c>
      <c r="B53" t="s">
        <v>8</v>
      </c>
      <c r="C53" t="s">
        <v>111</v>
      </c>
      <c r="D53" t="s">
        <v>112</v>
      </c>
      <c r="E53">
        <v>51</v>
      </c>
      <c r="F53" t="s">
        <v>16</v>
      </c>
      <c r="G53">
        <v>8</v>
      </c>
      <c r="H53" t="s">
        <v>272</v>
      </c>
      <c r="I53" s="1" t="s">
        <v>283</v>
      </c>
    </row>
    <row r="54" spans="1:9" ht="58" x14ac:dyDescent="0.35">
      <c r="A54" t="s">
        <v>7</v>
      </c>
      <c r="B54" t="s">
        <v>8</v>
      </c>
      <c r="C54" t="s">
        <v>113</v>
      </c>
      <c r="D54" t="s">
        <v>114</v>
      </c>
      <c r="E54">
        <v>52</v>
      </c>
      <c r="F54" t="s">
        <v>16</v>
      </c>
      <c r="G54">
        <v>8</v>
      </c>
      <c r="H54" t="s">
        <v>280</v>
      </c>
      <c r="I54" s="1" t="s">
        <v>283</v>
      </c>
    </row>
    <row r="55" spans="1:9" ht="58" x14ac:dyDescent="0.35">
      <c r="A55" t="s">
        <v>7</v>
      </c>
      <c r="B55" t="s">
        <v>8</v>
      </c>
      <c r="C55" t="s">
        <v>115</v>
      </c>
      <c r="D55" t="s">
        <v>116</v>
      </c>
      <c r="E55">
        <v>53</v>
      </c>
      <c r="F55" t="s">
        <v>16</v>
      </c>
      <c r="G55">
        <v>8</v>
      </c>
      <c r="H55" t="s">
        <v>273</v>
      </c>
      <c r="I55" s="1" t="s">
        <v>283</v>
      </c>
    </row>
    <row r="56" spans="1:9" ht="58" x14ac:dyDescent="0.35">
      <c r="A56" t="s">
        <v>7</v>
      </c>
      <c r="B56" t="s">
        <v>8</v>
      </c>
      <c r="C56" t="s">
        <v>117</v>
      </c>
      <c r="D56" t="s">
        <v>118</v>
      </c>
      <c r="E56">
        <v>54</v>
      </c>
      <c r="F56" t="s">
        <v>16</v>
      </c>
      <c r="G56">
        <v>8</v>
      </c>
      <c r="H56" t="s">
        <v>274</v>
      </c>
      <c r="I56" s="1" t="s">
        <v>283</v>
      </c>
    </row>
    <row r="57" spans="1:9" ht="58" x14ac:dyDescent="0.35">
      <c r="A57" t="s">
        <v>7</v>
      </c>
      <c r="B57" t="s">
        <v>8</v>
      </c>
      <c r="C57" t="s">
        <v>119</v>
      </c>
      <c r="D57" t="s">
        <v>120</v>
      </c>
      <c r="E57">
        <v>55</v>
      </c>
      <c r="F57" t="s">
        <v>16</v>
      </c>
      <c r="G57">
        <v>8</v>
      </c>
      <c r="H57" t="s">
        <v>275</v>
      </c>
      <c r="I57" s="1" t="s">
        <v>283</v>
      </c>
    </row>
    <row r="58" spans="1:9" ht="58" x14ac:dyDescent="0.35">
      <c r="A58" t="s">
        <v>7</v>
      </c>
      <c r="B58" t="s">
        <v>8</v>
      </c>
      <c r="C58" t="s">
        <v>121</v>
      </c>
      <c r="D58" t="s">
        <v>122</v>
      </c>
      <c r="E58">
        <v>56</v>
      </c>
      <c r="F58" t="s">
        <v>16</v>
      </c>
      <c r="G58">
        <v>8</v>
      </c>
      <c r="H58" t="s">
        <v>276</v>
      </c>
      <c r="I58" s="1" t="s">
        <v>283</v>
      </c>
    </row>
    <row r="59" spans="1:9" ht="58" x14ac:dyDescent="0.35">
      <c r="A59" t="s">
        <v>7</v>
      </c>
      <c r="B59" t="s">
        <v>8</v>
      </c>
      <c r="C59" t="s">
        <v>123</v>
      </c>
      <c r="D59" t="s">
        <v>124</v>
      </c>
      <c r="E59">
        <v>57</v>
      </c>
      <c r="F59" t="s">
        <v>16</v>
      </c>
      <c r="G59">
        <v>8</v>
      </c>
      <c r="H59" t="s">
        <v>277</v>
      </c>
      <c r="I59" s="1" t="s">
        <v>283</v>
      </c>
    </row>
    <row r="60" spans="1:9" ht="58" x14ac:dyDescent="0.35">
      <c r="A60" t="s">
        <v>7</v>
      </c>
      <c r="B60" t="s">
        <v>8</v>
      </c>
      <c r="C60" t="s">
        <v>125</v>
      </c>
      <c r="D60" t="s">
        <v>126</v>
      </c>
      <c r="E60">
        <v>58</v>
      </c>
      <c r="F60" t="s">
        <v>16</v>
      </c>
      <c r="G60">
        <v>8</v>
      </c>
      <c r="H60" t="s">
        <v>278</v>
      </c>
      <c r="I60" s="1" t="s">
        <v>283</v>
      </c>
    </row>
    <row r="61" spans="1:9" ht="58" x14ac:dyDescent="0.35">
      <c r="A61" t="s">
        <v>7</v>
      </c>
      <c r="B61" t="s">
        <v>8</v>
      </c>
      <c r="C61" t="s">
        <v>127</v>
      </c>
      <c r="D61" t="s">
        <v>128</v>
      </c>
      <c r="E61">
        <v>59</v>
      </c>
      <c r="F61" t="s">
        <v>16</v>
      </c>
      <c r="G61">
        <v>8</v>
      </c>
      <c r="H61" t="s">
        <v>279</v>
      </c>
      <c r="I61" s="1" t="s">
        <v>283</v>
      </c>
    </row>
    <row r="62" spans="1:9" x14ac:dyDescent="0.35">
      <c r="A62" t="s">
        <v>7</v>
      </c>
      <c r="B62" t="s">
        <v>8</v>
      </c>
      <c r="C62" t="s">
        <v>129</v>
      </c>
      <c r="D62" t="s">
        <v>130</v>
      </c>
      <c r="E62">
        <v>60</v>
      </c>
      <c r="F62" t="s">
        <v>16</v>
      </c>
      <c r="G62">
        <v>8</v>
      </c>
      <c r="H62" t="s">
        <v>284</v>
      </c>
      <c r="I62" s="1" t="s">
        <v>285</v>
      </c>
    </row>
    <row r="63" spans="1:9" x14ac:dyDescent="0.35">
      <c r="A63" t="s">
        <v>7</v>
      </c>
      <c r="B63" t="s">
        <v>8</v>
      </c>
      <c r="C63" t="s">
        <v>131</v>
      </c>
      <c r="D63" t="s">
        <v>132</v>
      </c>
      <c r="E63">
        <v>61</v>
      </c>
      <c r="F63" t="s">
        <v>11</v>
      </c>
      <c r="G63">
        <v>200</v>
      </c>
      <c r="I63" s="1" t="s">
        <v>221</v>
      </c>
    </row>
    <row r="64" spans="1:9" x14ac:dyDescent="0.35">
      <c r="A64" t="s">
        <v>7</v>
      </c>
      <c r="B64" t="s">
        <v>8</v>
      </c>
      <c r="C64" t="s">
        <v>133</v>
      </c>
      <c r="D64" t="s">
        <v>134</v>
      </c>
      <c r="E64">
        <v>62</v>
      </c>
      <c r="F64" t="s">
        <v>16</v>
      </c>
      <c r="G64">
        <v>8</v>
      </c>
      <c r="H64" t="s">
        <v>286</v>
      </c>
    </row>
    <row r="65" spans="1:10" x14ac:dyDescent="0.35">
      <c r="A65" t="s">
        <v>7</v>
      </c>
      <c r="B65" t="s">
        <v>8</v>
      </c>
      <c r="C65" t="s">
        <v>135</v>
      </c>
      <c r="D65" t="s">
        <v>136</v>
      </c>
      <c r="E65">
        <v>63</v>
      </c>
      <c r="F65" t="s">
        <v>16</v>
      </c>
      <c r="G65">
        <v>8</v>
      </c>
      <c r="H65" t="s">
        <v>288</v>
      </c>
      <c r="I65" s="1" t="s">
        <v>287</v>
      </c>
    </row>
    <row r="66" spans="1:10" x14ac:dyDescent="0.35">
      <c r="A66" t="s">
        <v>7</v>
      </c>
      <c r="B66" t="s">
        <v>8</v>
      </c>
      <c r="C66" t="s">
        <v>137</v>
      </c>
      <c r="D66" t="s">
        <v>138</v>
      </c>
      <c r="E66">
        <v>64</v>
      </c>
      <c r="F66" t="s">
        <v>16</v>
      </c>
      <c r="G66">
        <v>8</v>
      </c>
      <c r="H66" t="s">
        <v>221</v>
      </c>
      <c r="I66" t="s">
        <v>221</v>
      </c>
      <c r="J66" t="s">
        <v>289</v>
      </c>
    </row>
    <row r="67" spans="1:10" x14ac:dyDescent="0.35">
      <c r="A67" t="s">
        <v>7</v>
      </c>
      <c r="B67" t="s">
        <v>8</v>
      </c>
      <c r="C67" t="s">
        <v>139</v>
      </c>
      <c r="D67" t="s">
        <v>140</v>
      </c>
      <c r="E67">
        <v>65</v>
      </c>
      <c r="F67" t="s">
        <v>16</v>
      </c>
      <c r="G67">
        <v>8</v>
      </c>
      <c r="I67" s="1" t="s">
        <v>290</v>
      </c>
    </row>
    <row r="68" spans="1:10" x14ac:dyDescent="0.35">
      <c r="A68" t="s">
        <v>7</v>
      </c>
      <c r="B68" t="s">
        <v>8</v>
      </c>
      <c r="C68" t="s">
        <v>141</v>
      </c>
      <c r="D68" t="s">
        <v>142</v>
      </c>
      <c r="E68">
        <v>66</v>
      </c>
      <c r="F68" t="s">
        <v>16</v>
      </c>
      <c r="G68">
        <v>8</v>
      </c>
      <c r="H68" t="s">
        <v>288</v>
      </c>
      <c r="I68" t="s">
        <v>297</v>
      </c>
    </row>
    <row r="69" spans="1:10" x14ac:dyDescent="0.35">
      <c r="A69" t="s">
        <v>7</v>
      </c>
      <c r="B69" t="s">
        <v>8</v>
      </c>
      <c r="C69" t="s">
        <v>143</v>
      </c>
      <c r="D69" t="s">
        <v>144</v>
      </c>
      <c r="E69">
        <v>67</v>
      </c>
      <c r="F69" t="s">
        <v>16</v>
      </c>
      <c r="G69">
        <v>8</v>
      </c>
      <c r="H69" t="s">
        <v>291</v>
      </c>
      <c r="I69" t="s">
        <v>298</v>
      </c>
    </row>
    <row r="70" spans="1:10" x14ac:dyDescent="0.35">
      <c r="A70" t="s">
        <v>7</v>
      </c>
      <c r="B70" t="s">
        <v>8</v>
      </c>
      <c r="C70" t="s">
        <v>145</v>
      </c>
      <c r="D70" t="s">
        <v>146</v>
      </c>
      <c r="E70">
        <v>68</v>
      </c>
      <c r="F70" t="s">
        <v>16</v>
      </c>
      <c r="G70">
        <v>8</v>
      </c>
      <c r="H70" t="s">
        <v>221</v>
      </c>
      <c r="I70" t="s">
        <v>221</v>
      </c>
      <c r="J70" t="s">
        <v>299</v>
      </c>
    </row>
    <row r="71" spans="1:10" x14ac:dyDescent="0.35">
      <c r="A71" t="s">
        <v>7</v>
      </c>
      <c r="B71" t="s">
        <v>8</v>
      </c>
      <c r="C71" t="s">
        <v>147</v>
      </c>
      <c r="D71" t="s">
        <v>148</v>
      </c>
      <c r="E71">
        <v>69</v>
      </c>
      <c r="F71" t="s">
        <v>16</v>
      </c>
      <c r="G71">
        <v>8</v>
      </c>
      <c r="H71" t="s">
        <v>221</v>
      </c>
      <c r="I71" t="s">
        <v>221</v>
      </c>
      <c r="J71" t="s">
        <v>300</v>
      </c>
    </row>
    <row r="72" spans="1:10" x14ac:dyDescent="0.35">
      <c r="A72" t="s">
        <v>7</v>
      </c>
      <c r="B72" t="s">
        <v>8</v>
      </c>
      <c r="C72" t="s">
        <v>149</v>
      </c>
      <c r="D72" t="s">
        <v>150</v>
      </c>
      <c r="E72">
        <v>70</v>
      </c>
      <c r="F72" t="s">
        <v>16</v>
      </c>
      <c r="G72">
        <v>8</v>
      </c>
    </row>
    <row r="73" spans="1:10" x14ac:dyDescent="0.35">
      <c r="A73" t="s">
        <v>7</v>
      </c>
      <c r="B73" t="s">
        <v>8</v>
      </c>
      <c r="C73" t="s">
        <v>151</v>
      </c>
      <c r="D73" t="s">
        <v>152</v>
      </c>
      <c r="E73">
        <v>71</v>
      </c>
      <c r="F73" t="s">
        <v>16</v>
      </c>
      <c r="G73">
        <v>8</v>
      </c>
      <c r="H73" t="s">
        <v>292</v>
      </c>
      <c r="I73" t="s">
        <v>301</v>
      </c>
    </row>
    <row r="74" spans="1:10" x14ac:dyDescent="0.35">
      <c r="A74" t="s">
        <v>7</v>
      </c>
      <c r="B74" t="s">
        <v>8</v>
      </c>
      <c r="C74" t="s">
        <v>153</v>
      </c>
      <c r="D74" t="s">
        <v>154</v>
      </c>
      <c r="E74">
        <v>72</v>
      </c>
      <c r="F74" t="s">
        <v>16</v>
      </c>
      <c r="G74">
        <v>8</v>
      </c>
      <c r="H74" t="s">
        <v>221</v>
      </c>
      <c r="I74" t="s">
        <v>221</v>
      </c>
    </row>
    <row r="75" spans="1:10" x14ac:dyDescent="0.35">
      <c r="A75" t="s">
        <v>7</v>
      </c>
      <c r="B75" t="s">
        <v>8</v>
      </c>
      <c r="C75" t="s">
        <v>155</v>
      </c>
      <c r="D75" t="s">
        <v>156</v>
      </c>
      <c r="E75">
        <v>73</v>
      </c>
      <c r="F75" t="s">
        <v>16</v>
      </c>
      <c r="G75">
        <v>8</v>
      </c>
      <c r="H75" t="s">
        <v>293</v>
      </c>
      <c r="I75" t="s">
        <v>221</v>
      </c>
    </row>
    <row r="76" spans="1:10" x14ac:dyDescent="0.35">
      <c r="A76" t="s">
        <v>7</v>
      </c>
      <c r="B76" t="s">
        <v>8</v>
      </c>
      <c r="C76" t="s">
        <v>157</v>
      </c>
      <c r="D76" t="s">
        <v>158</v>
      </c>
      <c r="E76">
        <v>74</v>
      </c>
      <c r="F76" t="s">
        <v>16</v>
      </c>
      <c r="G76">
        <v>8</v>
      </c>
      <c r="H76" t="s">
        <v>294</v>
      </c>
      <c r="I76" t="s">
        <v>302</v>
      </c>
    </row>
    <row r="77" spans="1:10" x14ac:dyDescent="0.35">
      <c r="A77" t="s">
        <v>7</v>
      </c>
      <c r="B77" t="s">
        <v>8</v>
      </c>
      <c r="C77" t="s">
        <v>159</v>
      </c>
      <c r="D77" t="s">
        <v>160</v>
      </c>
      <c r="E77">
        <v>75</v>
      </c>
      <c r="F77" t="s">
        <v>16</v>
      </c>
      <c r="G77">
        <v>8</v>
      </c>
      <c r="H77" t="s">
        <v>295</v>
      </c>
      <c r="I77" t="s">
        <v>303</v>
      </c>
    </row>
    <row r="78" spans="1:10" x14ac:dyDescent="0.35">
      <c r="A78" t="s">
        <v>7</v>
      </c>
      <c r="B78" t="s">
        <v>8</v>
      </c>
      <c r="C78" t="s">
        <v>161</v>
      </c>
      <c r="D78" t="s">
        <v>162</v>
      </c>
      <c r="E78">
        <v>76</v>
      </c>
      <c r="F78" t="s">
        <v>16</v>
      </c>
      <c r="G78">
        <v>8</v>
      </c>
      <c r="H78" t="s">
        <v>296</v>
      </c>
      <c r="I78" t="s">
        <v>304</v>
      </c>
    </row>
    <row r="79" spans="1:10" x14ac:dyDescent="0.35">
      <c r="A79" t="s">
        <v>7</v>
      </c>
      <c r="B79" t="s">
        <v>8</v>
      </c>
      <c r="C79" t="s">
        <v>163</v>
      </c>
      <c r="D79" t="s">
        <v>164</v>
      </c>
      <c r="E79">
        <v>77</v>
      </c>
      <c r="F79" t="s">
        <v>16</v>
      </c>
      <c r="G79">
        <v>8</v>
      </c>
      <c r="H79" t="s">
        <v>221</v>
      </c>
      <c r="I79" t="s">
        <v>306</v>
      </c>
    </row>
    <row r="80" spans="1:10" x14ac:dyDescent="0.35">
      <c r="A80" t="s">
        <v>7</v>
      </c>
      <c r="B80" t="s">
        <v>8</v>
      </c>
      <c r="C80" t="s">
        <v>165</v>
      </c>
      <c r="D80" t="s">
        <v>166</v>
      </c>
      <c r="E80">
        <v>78</v>
      </c>
      <c r="F80" t="s">
        <v>11</v>
      </c>
      <c r="G80">
        <v>200</v>
      </c>
      <c r="H80" t="s">
        <v>221</v>
      </c>
      <c r="I80" t="s">
        <v>305</v>
      </c>
    </row>
    <row r="81" spans="1:10" ht="72.5" x14ac:dyDescent="0.35">
      <c r="A81" t="s">
        <v>7</v>
      </c>
      <c r="B81" t="s">
        <v>8</v>
      </c>
      <c r="C81" t="s">
        <v>167</v>
      </c>
      <c r="D81" t="s">
        <v>168</v>
      </c>
      <c r="E81">
        <v>79</v>
      </c>
      <c r="F81" t="s">
        <v>16</v>
      </c>
      <c r="G81">
        <v>8</v>
      </c>
      <c r="H81" t="s">
        <v>312</v>
      </c>
      <c r="I81" t="s">
        <v>314</v>
      </c>
      <c r="J81" s="1" t="s">
        <v>332</v>
      </c>
    </row>
    <row r="82" spans="1:10" ht="72.5" x14ac:dyDescent="0.35">
      <c r="A82" t="s">
        <v>7</v>
      </c>
      <c r="B82" t="s">
        <v>8</v>
      </c>
      <c r="C82" t="s">
        <v>169</v>
      </c>
      <c r="D82" t="s">
        <v>170</v>
      </c>
      <c r="E82">
        <v>80</v>
      </c>
      <c r="F82" t="s">
        <v>16</v>
      </c>
      <c r="G82">
        <v>8</v>
      </c>
      <c r="H82" t="s">
        <v>313</v>
      </c>
      <c r="I82" t="s">
        <v>316</v>
      </c>
      <c r="J82" s="1" t="s">
        <v>332</v>
      </c>
    </row>
    <row r="83" spans="1:10" ht="72.5" x14ac:dyDescent="0.35">
      <c r="A83" t="s">
        <v>7</v>
      </c>
      <c r="B83" t="s">
        <v>8</v>
      </c>
      <c r="C83" t="s">
        <v>171</v>
      </c>
      <c r="D83" t="s">
        <v>172</v>
      </c>
      <c r="E83">
        <v>81</v>
      </c>
      <c r="F83" t="s">
        <v>16</v>
      </c>
      <c r="G83">
        <v>8</v>
      </c>
      <c r="H83" t="s">
        <v>307</v>
      </c>
      <c r="I83" t="s">
        <v>317</v>
      </c>
      <c r="J83" s="1" t="s">
        <v>332</v>
      </c>
    </row>
    <row r="84" spans="1:10" ht="72.5" x14ac:dyDescent="0.35">
      <c r="A84" t="s">
        <v>7</v>
      </c>
      <c r="B84" t="s">
        <v>8</v>
      </c>
      <c r="C84" t="s">
        <v>173</v>
      </c>
      <c r="D84" t="s">
        <v>174</v>
      </c>
      <c r="E84">
        <v>82</v>
      </c>
      <c r="F84" t="s">
        <v>16</v>
      </c>
      <c r="G84">
        <v>8</v>
      </c>
      <c r="H84" t="s">
        <v>308</v>
      </c>
      <c r="I84" s="1" t="s">
        <v>319</v>
      </c>
      <c r="J84" s="1" t="s">
        <v>332</v>
      </c>
    </row>
    <row r="85" spans="1:10" ht="72.5" x14ac:dyDescent="0.35">
      <c r="A85" t="s">
        <v>7</v>
      </c>
      <c r="B85" t="s">
        <v>8</v>
      </c>
      <c r="C85" t="s">
        <v>175</v>
      </c>
      <c r="D85" t="s">
        <v>176</v>
      </c>
      <c r="E85">
        <v>83</v>
      </c>
      <c r="F85" t="s">
        <v>16</v>
      </c>
      <c r="G85">
        <v>8</v>
      </c>
      <c r="H85" t="s">
        <v>312</v>
      </c>
      <c r="I85" t="s">
        <v>311</v>
      </c>
      <c r="J85" s="1" t="s">
        <v>332</v>
      </c>
    </row>
    <row r="86" spans="1:10" ht="72.5" x14ac:dyDescent="0.35">
      <c r="A86" t="s">
        <v>7</v>
      </c>
      <c r="B86" t="s">
        <v>8</v>
      </c>
      <c r="C86" t="s">
        <v>177</v>
      </c>
      <c r="D86" t="s">
        <v>178</v>
      </c>
      <c r="E86">
        <v>84</v>
      </c>
      <c r="F86" t="s">
        <v>16</v>
      </c>
      <c r="G86">
        <v>8</v>
      </c>
      <c r="H86" t="s">
        <v>313</v>
      </c>
      <c r="I86" t="s">
        <v>315</v>
      </c>
      <c r="J86" s="1" t="s">
        <v>332</v>
      </c>
    </row>
    <row r="87" spans="1:10" ht="72.5" x14ac:dyDescent="0.35">
      <c r="A87" t="s">
        <v>7</v>
      </c>
      <c r="B87" t="s">
        <v>8</v>
      </c>
      <c r="C87" t="s">
        <v>179</v>
      </c>
      <c r="D87" t="s">
        <v>180</v>
      </c>
      <c r="E87">
        <v>85</v>
      </c>
      <c r="F87" t="s">
        <v>16</v>
      </c>
      <c r="G87">
        <v>8</v>
      </c>
      <c r="H87" t="s">
        <v>309</v>
      </c>
      <c r="I87" t="s">
        <v>318</v>
      </c>
      <c r="J87" s="1" t="s">
        <v>332</v>
      </c>
    </row>
    <row r="88" spans="1:10" ht="72.5" x14ac:dyDescent="0.35">
      <c r="A88" t="s">
        <v>7</v>
      </c>
      <c r="B88" t="s">
        <v>8</v>
      </c>
      <c r="C88" t="s">
        <v>181</v>
      </c>
      <c r="D88" t="s">
        <v>182</v>
      </c>
      <c r="E88">
        <v>86</v>
      </c>
      <c r="F88" t="s">
        <v>16</v>
      </c>
      <c r="G88">
        <v>8</v>
      </c>
      <c r="H88" t="s">
        <v>310</v>
      </c>
      <c r="I88" s="1" t="s">
        <v>320</v>
      </c>
      <c r="J88" s="1" t="s">
        <v>332</v>
      </c>
    </row>
    <row r="89" spans="1:10" x14ac:dyDescent="0.35">
      <c r="A89" t="s">
        <v>7</v>
      </c>
      <c r="B89" t="s">
        <v>8</v>
      </c>
      <c r="C89" t="s">
        <v>183</v>
      </c>
      <c r="D89" t="s">
        <v>184</v>
      </c>
      <c r="E89">
        <v>87</v>
      </c>
      <c r="F89" t="s">
        <v>16</v>
      </c>
      <c r="G89">
        <v>8</v>
      </c>
      <c r="H89" t="s">
        <v>221</v>
      </c>
      <c r="I89" t="s">
        <v>221</v>
      </c>
      <c r="J89" t="s">
        <v>322</v>
      </c>
    </row>
    <row r="90" spans="1:10" x14ac:dyDescent="0.35">
      <c r="A90" t="s">
        <v>7</v>
      </c>
      <c r="B90" t="s">
        <v>8</v>
      </c>
      <c r="C90" t="s">
        <v>185</v>
      </c>
      <c r="D90" t="s">
        <v>186</v>
      </c>
      <c r="E90">
        <v>88</v>
      </c>
      <c r="F90" t="s">
        <v>16</v>
      </c>
      <c r="G90">
        <v>8</v>
      </c>
      <c r="H90" t="s">
        <v>221</v>
      </c>
      <c r="I90" t="s">
        <v>321</v>
      </c>
    </row>
    <row r="91" spans="1:10" x14ac:dyDescent="0.35">
      <c r="A91" t="s">
        <v>7</v>
      </c>
      <c r="B91" t="s">
        <v>8</v>
      </c>
      <c r="C91" t="s">
        <v>187</v>
      </c>
      <c r="D91" t="s">
        <v>188</v>
      </c>
      <c r="E91">
        <v>89</v>
      </c>
      <c r="F91" t="s">
        <v>16</v>
      </c>
      <c r="G91">
        <v>8</v>
      </c>
      <c r="H91" t="s">
        <v>221</v>
      </c>
      <c r="I91" t="s">
        <v>221</v>
      </c>
      <c r="J91" t="s">
        <v>323</v>
      </c>
    </row>
    <row r="92" spans="1:10" x14ac:dyDescent="0.35">
      <c r="A92" t="s">
        <v>7</v>
      </c>
      <c r="B92" t="s">
        <v>8</v>
      </c>
      <c r="C92" t="s">
        <v>189</v>
      </c>
      <c r="D92" t="s">
        <v>190</v>
      </c>
      <c r="E92">
        <v>90</v>
      </c>
      <c r="F92" t="s">
        <v>16</v>
      </c>
      <c r="G92">
        <v>8</v>
      </c>
      <c r="H92" t="s">
        <v>221</v>
      </c>
      <c r="I92" t="s">
        <v>221</v>
      </c>
      <c r="J92" t="s">
        <v>323</v>
      </c>
    </row>
    <row r="93" spans="1:10" x14ac:dyDescent="0.35">
      <c r="A93" t="s">
        <v>7</v>
      </c>
      <c r="B93" t="s">
        <v>8</v>
      </c>
      <c r="C93" t="s">
        <v>191</v>
      </c>
      <c r="D93" t="s">
        <v>192</v>
      </c>
      <c r="E93">
        <v>91</v>
      </c>
      <c r="F93" t="s">
        <v>16</v>
      </c>
      <c r="G93">
        <v>8</v>
      </c>
      <c r="H93" t="s">
        <v>221</v>
      </c>
      <c r="I93" t="s">
        <v>221</v>
      </c>
      <c r="J93" t="s">
        <v>323</v>
      </c>
    </row>
    <row r="94" spans="1:10" x14ac:dyDescent="0.35">
      <c r="A94" t="s">
        <v>7</v>
      </c>
      <c r="B94" t="s">
        <v>8</v>
      </c>
      <c r="C94" t="s">
        <v>193</v>
      </c>
      <c r="D94" t="s">
        <v>194</v>
      </c>
      <c r="E94">
        <v>92</v>
      </c>
      <c r="F94" t="s">
        <v>16</v>
      </c>
      <c r="G94">
        <v>8</v>
      </c>
      <c r="H94" t="s">
        <v>221</v>
      </c>
      <c r="I94" t="s">
        <v>221</v>
      </c>
      <c r="J94" t="s">
        <v>323</v>
      </c>
    </row>
    <row r="95" spans="1:10" x14ac:dyDescent="0.35">
      <c r="A95" t="s">
        <v>7</v>
      </c>
      <c r="B95" t="s">
        <v>8</v>
      </c>
      <c r="C95" t="s">
        <v>195</v>
      </c>
      <c r="D95" t="s">
        <v>196</v>
      </c>
      <c r="E95">
        <v>93</v>
      </c>
      <c r="F95" t="s">
        <v>16</v>
      </c>
      <c r="G95">
        <v>8</v>
      </c>
      <c r="H95" t="s">
        <v>221</v>
      </c>
      <c r="I95" t="s">
        <v>221</v>
      </c>
      <c r="J95" t="s">
        <v>323</v>
      </c>
    </row>
    <row r="96" spans="1:10" x14ac:dyDescent="0.35">
      <c r="A96" t="s">
        <v>7</v>
      </c>
      <c r="B96" t="s">
        <v>8</v>
      </c>
      <c r="C96" t="s">
        <v>197</v>
      </c>
      <c r="D96" t="s">
        <v>198</v>
      </c>
      <c r="E96">
        <v>94</v>
      </c>
      <c r="F96" t="s">
        <v>16</v>
      </c>
      <c r="G96">
        <v>8</v>
      </c>
      <c r="H96" t="s">
        <v>221</v>
      </c>
      <c r="I96" t="s">
        <v>221</v>
      </c>
      <c r="J96" t="s">
        <v>323</v>
      </c>
    </row>
    <row r="97" spans="1:9" x14ac:dyDescent="0.35">
      <c r="A97" t="s">
        <v>7</v>
      </c>
      <c r="B97" t="s">
        <v>8</v>
      </c>
      <c r="C97" t="s">
        <v>199</v>
      </c>
      <c r="D97" t="s">
        <v>200</v>
      </c>
      <c r="E97">
        <v>95</v>
      </c>
      <c r="F97" t="s">
        <v>16</v>
      </c>
      <c r="G97">
        <v>8</v>
      </c>
      <c r="H97" t="s">
        <v>328</v>
      </c>
      <c r="I97" t="s">
        <v>324</v>
      </c>
    </row>
    <row r="98" spans="1:9" x14ac:dyDescent="0.35">
      <c r="A98" t="s">
        <v>7</v>
      </c>
      <c r="B98" t="s">
        <v>8</v>
      </c>
      <c r="C98" t="s">
        <v>201</v>
      </c>
      <c r="D98" t="s">
        <v>202</v>
      </c>
      <c r="E98">
        <v>96</v>
      </c>
      <c r="F98" t="s">
        <v>16</v>
      </c>
      <c r="G98">
        <v>8</v>
      </c>
      <c r="H98" t="s">
        <v>329</v>
      </c>
      <c r="I98" t="s">
        <v>325</v>
      </c>
    </row>
    <row r="99" spans="1:9" x14ac:dyDescent="0.35">
      <c r="A99" t="s">
        <v>7</v>
      </c>
      <c r="B99" t="s">
        <v>8</v>
      </c>
      <c r="C99" t="s">
        <v>203</v>
      </c>
      <c r="D99" t="s">
        <v>204</v>
      </c>
      <c r="E99">
        <v>97</v>
      </c>
      <c r="F99" t="s">
        <v>16</v>
      </c>
      <c r="G99">
        <v>8</v>
      </c>
      <c r="H99" t="s">
        <v>330</v>
      </c>
      <c r="I99" t="s">
        <v>326</v>
      </c>
    </row>
    <row r="100" spans="1:9" x14ac:dyDescent="0.35">
      <c r="A100" t="s">
        <v>7</v>
      </c>
      <c r="B100" t="s">
        <v>8</v>
      </c>
      <c r="C100" t="s">
        <v>205</v>
      </c>
      <c r="D100" t="s">
        <v>206</v>
      </c>
      <c r="E100">
        <v>98</v>
      </c>
      <c r="F100" t="s">
        <v>16</v>
      </c>
      <c r="G100">
        <v>8</v>
      </c>
      <c r="H100" t="s">
        <v>331</v>
      </c>
      <c r="I100" t="s">
        <v>327</v>
      </c>
    </row>
  </sheetData>
  <autoFilter ref="A1:K100" xr:uid="{4155D785-938D-497E-9FD9-413BA560D477}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vital_lactation_imic_datalink</vt:lpstr>
      <vt:lpstr>vital_lactation_imic_datalink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Puja Kawle</cp:lastModifiedBy>
  <dcterms:created xsi:type="dcterms:W3CDTF">2011-02-11T15:45:55Z</dcterms:created>
  <dcterms:modified xsi:type="dcterms:W3CDTF">2023-07-25T14:03:05Z</dcterms:modified>
</cp:coreProperties>
</file>